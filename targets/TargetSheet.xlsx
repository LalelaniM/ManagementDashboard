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116EB92B-9264-42B9-9CB5-2C789BF2CDD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CTOBER Target 25-1-1" sheetId="13" r:id="rId1"/>
  </sheets>
  <calcPr calcId="181029"/>
</workbook>
</file>

<file path=xl/calcChain.xml><?xml version="1.0" encoding="utf-8"?>
<calcChain xmlns="http://schemas.openxmlformats.org/spreadsheetml/2006/main">
  <c r="E37" i="13" l="1" a="1"/>
  <c r="E37" i="13" s="1"/>
  <c r="C37" i="13" a="1"/>
  <c r="C37" i="13" s="1"/>
  <c r="C39" i="13" s="1" a="1"/>
  <c r="C39" i="13" s="1"/>
  <c r="E35" i="13" a="1"/>
  <c r="E35" i="13" s="1"/>
  <c r="D34" i="13" a="1"/>
  <c r="D34" i="13" s="1"/>
  <c r="D33" i="13" a="1"/>
  <c r="D33" i="13" s="1"/>
  <c r="D32" i="13" a="1"/>
  <c r="D32" i="13" s="1"/>
  <c r="D31" i="13" a="1"/>
  <c r="D31" i="13" s="1"/>
  <c r="D30" i="13" a="1"/>
  <c r="D30" i="13" s="1"/>
  <c r="E29" i="13" a="1"/>
  <c r="E29" i="13" s="1"/>
  <c r="D29" i="13" a="1"/>
  <c r="D29" i="13" s="1"/>
  <c r="D28" i="13" a="1"/>
  <c r="D28" i="13" s="1"/>
  <c r="D27" i="13" a="1"/>
  <c r="D27" i="13" s="1"/>
  <c r="D26" i="13" a="1"/>
  <c r="D26" i="13" s="1"/>
  <c r="D25" i="13" a="1"/>
  <c r="D25" i="13" s="1"/>
  <c r="D24" i="13" a="1"/>
  <c r="D24" i="13" s="1"/>
  <c r="D23" i="13" a="1"/>
  <c r="D23" i="13" s="1"/>
  <c r="E22" i="13" a="1"/>
  <c r="E22" i="13" s="1"/>
  <c r="D22" i="13" a="1"/>
  <c r="D22" i="13" s="1"/>
  <c r="D21" i="13" a="1"/>
  <c r="D21" i="13" s="1"/>
  <c r="D20" i="13" a="1"/>
  <c r="D20" i="13" s="1"/>
  <c r="D19" i="13" a="1"/>
  <c r="D19" i="13" s="1"/>
  <c r="D18" i="13" a="1"/>
  <c r="D18" i="13" s="1"/>
  <c r="D17" i="13" a="1"/>
  <c r="D17" i="13" s="1"/>
  <c r="D16" i="13" a="1"/>
  <c r="D16" i="13" s="1"/>
  <c r="E15" i="13" a="1"/>
  <c r="E15" i="13" s="1"/>
  <c r="D15" i="13" a="1"/>
  <c r="D15" i="13" s="1"/>
  <c r="D14" i="13" a="1"/>
  <c r="D14" i="13" s="1"/>
  <c r="D13" i="13" a="1"/>
  <c r="D13" i="13" s="1"/>
  <c r="D12" i="13" a="1"/>
  <c r="D12" i="13"/>
  <c r="D11" i="13" a="1"/>
  <c r="D11" i="13" s="1"/>
  <c r="D10" i="13" a="1"/>
  <c r="D10" i="13" s="1"/>
  <c r="D9" i="13" a="1"/>
  <c r="D9" i="13" s="1"/>
  <c r="E8" i="13" a="1"/>
  <c r="E8" i="13" s="1"/>
  <c r="D8" i="13" a="1"/>
  <c r="D8" i="13" s="1"/>
  <c r="D7" i="13" a="1"/>
  <c r="D7" i="13" s="1"/>
  <c r="D6" i="13" a="1"/>
  <c r="D6" i="13" s="1"/>
  <c r="D5" i="13" a="1"/>
  <c r="D5" i="13" s="1"/>
  <c r="C40" i="13" l="1" a="1"/>
  <c r="C40" i="13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<sst xmlns="http://schemas.openxmlformats.org/spreadsheetml/2006/main" count="44" uniqueCount="20">
  <si>
    <t>MONTH</t>
  </si>
  <si>
    <t>DAY</t>
  </si>
  <si>
    <t>DATE</t>
  </si>
  <si>
    <t>Notes</t>
  </si>
  <si>
    <t>MONDAY</t>
  </si>
  <si>
    <t>TUESDAY</t>
  </si>
  <si>
    <t xml:space="preserve">WEDNESDAY </t>
  </si>
  <si>
    <t>THURSDAY</t>
  </si>
  <si>
    <t>FRIDAY</t>
  </si>
  <si>
    <t>SATURDAY</t>
  </si>
  <si>
    <t>SUNDAY</t>
  </si>
  <si>
    <t>Total MTD</t>
  </si>
  <si>
    <t>Daily difference</t>
  </si>
  <si>
    <t>Monthly Difference</t>
  </si>
  <si>
    <t>% 2 Target</t>
  </si>
  <si>
    <t>Weekly Target</t>
  </si>
  <si>
    <t>Table 1</t>
  </si>
  <si>
    <t xml:space="preserve">TEAM Target Sheet </t>
  </si>
  <si>
    <t>Store Target</t>
  </si>
  <si>
    <t>Individual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</si>
</sst>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R-1C09]0.00"/>
    <numFmt numFmtId="167" formatCode="0.0%"/>
    <numFmt numFmtId="168" formatCode="yyyy/mm/dd"/>
    <numFmt numFmtId="170" formatCode="_-[$R-1C09]* #,##0.00_-;_-[$R-1C09]* \(#,##0.00\)_-;_-[$R-1C09]* &quot;-&quot;??;_-@_-"/>
  </numFmts>
  <fonts count="13" x14ac:knownFonts="1">
    <font>
      <sz val="12"/>
      <color indexed="8"/>
      <name val="Calibri"/>
    </font>
    <font>
      <sz val="15"/>
      <color indexed="8"/>
      <name val="Calibri"/>
    </font>
    <font>
      <sz val="28"/>
      <color indexed="8"/>
      <name val="Calibri"/>
    </font>
    <font>
      <sz val="16"/>
      <color indexed="8"/>
      <name val="Calibri"/>
    </font>
    <font>
      <b/>
      <sz val="16"/>
      <color indexed="8"/>
      <name val="Calibri"/>
    </font>
    <font>
      <b/>
      <sz val="31"/>
      <color indexed="8"/>
      <name val="Calibri"/>
    </font>
    <font>
      <b/>
      <sz val="12"/>
      <color indexed="8"/>
      <name val="Calibri"/>
    </font>
    <font>
      <b/>
      <sz val="13"/>
      <color indexed="8"/>
      <name val="Calibri"/>
    </font>
    <font>
      <sz val="13"/>
      <color indexed="8"/>
      <name val="Calibri"/>
    </font>
    <font>
      <b/>
      <sz val="14"/>
      <color indexed="8"/>
      <name val="Calibri"/>
    </font>
    <font>
      <b/>
      <sz val="17"/>
      <color indexed="8"/>
      <name val="Calibri"/>
    </font>
    <font>
      <sz val="17"/>
      <color indexed="8"/>
      <name val="Calibri"/>
    </font>
    <font>
      <b/>
      <sz val="18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2">
    <border>
      <left/>
      <right/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n">
        <color indexed="14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4"/>
      </right>
      <top style="medium">
        <color indexed="8"/>
      </top>
      <bottom/>
      <diagonal/>
    </border>
    <border>
      <left style="thin">
        <color indexed="14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ck">
        <color indexed="8"/>
      </left>
      <right style="thin">
        <color indexed="14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ck">
        <color indexed="8"/>
      </right>
      <top style="medium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75">
    <xf numFmtId="0" fontId="0" fillId="0" borderId="0" xfId="0"/>
    <xf numFmtId="0" fontId="0" fillId="0" borderId="0" xfId="0" applyNumberFormat="1"/>
    <xf numFmtId="0" fontId="0" fillId="0" borderId="8" xfId="0" applyBorder="1"/>
    <xf numFmtId="165" fontId="5" fillId="2" borderId="9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2" borderId="9" xfId="0" applyFill="1" applyBorder="1"/>
    <xf numFmtId="0" fontId="0" fillId="2" borderId="12" xfId="0" applyFill="1" applyBorder="1"/>
    <xf numFmtId="0" fontId="0" fillId="2" borderId="13" xfId="0" applyFill="1" applyBorder="1"/>
    <xf numFmtId="165" fontId="8" fillId="2" borderId="9" xfId="0" applyNumberFormat="1" applyFont="1" applyFill="1" applyBorder="1"/>
    <xf numFmtId="167" fontId="7" fillId="2" borderId="9" xfId="0" applyNumberFormat="1" applyFont="1" applyFill="1" applyBorder="1"/>
    <xf numFmtId="0" fontId="0" fillId="2" borderId="14" xfId="0" applyFill="1" applyBorder="1"/>
    <xf numFmtId="0" fontId="0" fillId="2" borderId="15" xfId="0" applyFill="1" applyBorder="1"/>
    <xf numFmtId="0" fontId="6" fillId="3" borderId="11" xfId="0" applyFont="1" applyFill="1" applyBorder="1"/>
    <xf numFmtId="0" fontId="6" fillId="3" borderId="9" xfId="0" applyFont="1" applyFill="1" applyBorder="1"/>
    <xf numFmtId="49" fontId="3" fillId="2" borderId="10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49" fontId="9" fillId="2" borderId="9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49" fontId="6" fillId="2" borderId="9" xfId="0" applyNumberFormat="1" applyFont="1" applyFill="1" applyBorder="1"/>
    <xf numFmtId="0" fontId="8" fillId="2" borderId="9" xfId="0" applyFont="1" applyFill="1" applyBorder="1"/>
    <xf numFmtId="49" fontId="6" fillId="2" borderId="5" xfId="0" applyNumberFormat="1" applyFont="1" applyFill="1" applyBorder="1" applyAlignment="1">
      <alignment horizontal="center" vertical="center"/>
    </xf>
    <xf numFmtId="49" fontId="10" fillId="4" borderId="8" xfId="0" applyNumberFormat="1" applyFont="1" applyFill="1" applyBorder="1"/>
    <xf numFmtId="0" fontId="10" fillId="0" borderId="2" xfId="0" applyNumberFormat="1" applyFont="1" applyBorder="1" applyAlignment="1">
      <alignment horizontal="center"/>
    </xf>
    <xf numFmtId="165" fontId="11" fillId="0" borderId="5" xfId="0" applyNumberFormat="1" applyFont="1" applyBorder="1"/>
    <xf numFmtId="170" fontId="11" fillId="0" borderId="21" xfId="0" applyNumberFormat="1" applyFont="1" applyBorder="1" applyAlignment="1">
      <alignment horizontal="right"/>
    </xf>
    <xf numFmtId="49" fontId="10" fillId="4" borderId="2" xfId="0" applyNumberFormat="1" applyFont="1" applyFill="1" applyBorder="1"/>
    <xf numFmtId="0" fontId="10" fillId="0" borderId="5" xfId="0" applyNumberFormat="1" applyFont="1" applyBorder="1" applyAlignment="1">
      <alignment horizontal="center"/>
    </xf>
    <xf numFmtId="0" fontId="11" fillId="0" borderId="23" xfId="0" applyFont="1" applyBorder="1"/>
    <xf numFmtId="49" fontId="10" fillId="4" borderId="5" xfId="0" applyNumberFormat="1" applyFont="1" applyFill="1" applyBorder="1"/>
    <xf numFmtId="165" fontId="11" fillId="0" borderId="23" xfId="0" applyNumberFormat="1" applyFont="1" applyBorder="1"/>
    <xf numFmtId="170" fontId="10" fillId="0" borderId="21" xfId="0" applyNumberFormat="1" applyFont="1" applyBorder="1" applyAlignment="1">
      <alignment horizontal="right"/>
    </xf>
    <xf numFmtId="165" fontId="10" fillId="0" borderId="23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8" xfId="0" applyNumberFormat="1" applyFont="1" applyBorder="1" applyAlignment="1">
      <alignment horizontal="center"/>
    </xf>
    <xf numFmtId="170" fontId="11" fillId="0" borderId="25" xfId="0" applyNumberFormat="1" applyFont="1" applyBorder="1" applyAlignment="1">
      <alignment horizontal="right"/>
    </xf>
    <xf numFmtId="165" fontId="11" fillId="0" borderId="26" xfId="0" applyNumberFormat="1" applyFont="1" applyBorder="1"/>
    <xf numFmtId="165" fontId="6" fillId="0" borderId="8" xfId="0" applyNumberFormat="1" applyFont="1" applyBorder="1" applyAlignment="1">
      <alignment horizontal="right"/>
    </xf>
    <xf numFmtId="165" fontId="0" fillId="0" borderId="28" xfId="0" applyNumberFormat="1" applyBorder="1" applyAlignment="1">
      <alignment horizontal="center"/>
    </xf>
    <xf numFmtId="165" fontId="12" fillId="2" borderId="9" xfId="0" applyNumberFormat="1" applyFont="1" applyFill="1" applyBorder="1"/>
    <xf numFmtId="0" fontId="7" fillId="2" borderId="9" xfId="0" applyFont="1" applyFill="1" applyBorder="1"/>
    <xf numFmtId="0" fontId="11" fillId="0" borderId="3" xfId="0" applyFont="1" applyBorder="1" applyAlignment="1">
      <alignment horizontal="center"/>
    </xf>
    <xf numFmtId="0" fontId="10" fillId="4" borderId="5" xfId="0" applyFont="1" applyFill="1" applyBorder="1"/>
    <xf numFmtId="0" fontId="7" fillId="2" borderId="9" xfId="0" applyNumberFormat="1" applyFont="1" applyFill="1" applyBorder="1"/>
    <xf numFmtId="49" fontId="6" fillId="2" borderId="8" xfId="0" applyNumberFormat="1" applyFont="1" applyFill="1" applyBorder="1"/>
    <xf numFmtId="168" fontId="4" fillId="2" borderId="16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0" fillId="0" borderId="23" xfId="0" applyNumberFormat="1" applyFont="1" applyBorder="1"/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" borderId="30" xfId="0" applyFill="1" applyBorder="1"/>
    <xf numFmtId="0" fontId="0" fillId="2" borderId="31" xfId="0" applyFill="1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5" fontId="5" fillId="2" borderId="9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49" fontId="9" fillId="2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49" fontId="2" fillId="2" borderId="10" xfId="0" applyNumberFormat="1" applyFont="1" applyFill="1" applyBorder="1" applyAlignment="1">
      <alignment horizontal="center" vertical="center"/>
    </xf>
    <xf numFmtId="0" fontId="6" fillId="3" borderId="16" xfId="0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FFFF"/>
      <rgbColor rgb="FFAAAAAA"/>
      <rgbColor rgb="FFBDC0BF"/>
      <rgbColor rgb="FFDBDBDB"/>
      <rgbColor rgb="FFA5A5A5"/>
      <rgbColor rgb="FF3F3F3F"/>
      <rgbColor rgb="FFFF6250"/>
      <rgbColor rgb="FFFF864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:G3"/>
    </sheetView>
  </sheetViews>
  <sheetFormatPr defaultColWidth="16.375" defaultRowHeight="16.7" customHeight="1" x14ac:dyDescent="0.25"/>
  <cols>
    <col min="1" max="1" width="20.875" style="1" customWidth="1"/>
    <col min="2" max="9" width="17.625" style="1" customWidth="1"/>
    <col min="10" max="10" width="16.375" style="1" customWidth="1"/>
    <col min="11" max="16384" width="16.375" style="1"/>
  </cols>
  <sheetData>
    <row r="1" spans="1:9" ht="15.6" customHeight="1" x14ac:dyDescent="0.25">
      <c r="A1" s="69" t="s">
        <v>16</v>
      </c>
      <c r="B1" s="69"/>
      <c r="C1" s="69"/>
      <c r="D1" s="69"/>
      <c r="E1" s="69"/>
      <c r="F1" s="69"/>
      <c r="G1" s="69"/>
      <c r="H1" s="69"/>
      <c r="I1" s="69"/>
    </row>
    <row r="2" spans="1:9" ht="36" customHeight="1" x14ac:dyDescent="0.25">
      <c r="A2" s="73" t="s">
        <v>17</v>
      </c>
      <c r="B2" s="74"/>
      <c r="C2" s="12"/>
      <c r="D2" s="13"/>
      <c r="E2" s="13"/>
      <c r="F2" s="14" t="s">
        <v>0</v>
      </c>
      <c r="G2" s="46">
        <v>46296</v>
      </c>
      <c r="H2" s="47"/>
      <c r="I2" s="48"/>
    </row>
    <row r="3" spans="1:9" ht="36" customHeight="1" x14ac:dyDescent="0.25">
      <c r="A3" s="15"/>
      <c r="B3" s="62">
        <v>1550000</v>
      </c>
      <c r="C3" s="63"/>
      <c r="D3" s="63"/>
      <c r="E3" s="63"/>
      <c r="F3" s="63"/>
      <c r="G3" s="63"/>
      <c r="H3" s="3"/>
      <c r="I3" s="3"/>
    </row>
    <row r="4" spans="1:9" ht="35.450000000000003" customHeight="1" x14ac:dyDescent="0.25">
      <c r="A4" s="22" t="s">
        <v>1</v>
      </c>
      <c r="B4" s="16" t="s">
        <v>2</v>
      </c>
      <c r="C4" s="17" t="s">
        <v>18</v>
      </c>
      <c r="D4" s="18" t="s">
        <v>19</v>
      </c>
      <c r="E4" s="17" t="s">
        <v>15</v>
      </c>
      <c r="F4" s="68" t="s">
        <v>3</v>
      </c>
      <c r="G4" s="64"/>
      <c r="H4" s="49"/>
      <c r="I4" s="50"/>
    </row>
    <row r="5" spans="1:9" ht="35.450000000000003" customHeight="1" x14ac:dyDescent="0.35">
      <c r="A5" s="30" t="s">
        <v>7</v>
      </c>
      <c r="B5" s="24">
        <v>1</v>
      </c>
      <c r="C5" s="25">
        <v>45000</v>
      </c>
      <c r="D5" s="26" t="e" cm="1">
        <f t="array" ref="D5">C5/#REF!</f>
        <v>#REF!</v>
      </c>
      <c r="E5" s="34"/>
      <c r="F5" s="72"/>
      <c r="G5" s="67"/>
      <c r="H5" s="51"/>
      <c r="I5" s="52"/>
    </row>
    <row r="6" spans="1:9" ht="35.450000000000003" customHeight="1" x14ac:dyDescent="0.35">
      <c r="A6" s="30" t="s">
        <v>8</v>
      </c>
      <c r="B6" s="28">
        <v>2</v>
      </c>
      <c r="C6" s="25">
        <v>50000</v>
      </c>
      <c r="D6" s="26" t="e" cm="1">
        <f t="array" ref="D6">C6/#REF!</f>
        <v>#REF!</v>
      </c>
      <c r="E6" s="29"/>
      <c r="F6" s="71"/>
      <c r="G6" s="60"/>
      <c r="H6" s="53"/>
      <c r="I6" s="42"/>
    </row>
    <row r="7" spans="1:9" ht="35.450000000000003" customHeight="1" x14ac:dyDescent="0.35">
      <c r="A7" s="23" t="s">
        <v>9</v>
      </c>
      <c r="B7" s="28">
        <v>3</v>
      </c>
      <c r="C7" s="25">
        <v>55000</v>
      </c>
      <c r="D7" s="26" t="e" cm="1">
        <f t="array" ref="D7">C7/#REF!</f>
        <v>#REF!</v>
      </c>
      <c r="E7" s="31"/>
      <c r="F7" s="71"/>
      <c r="G7" s="60"/>
      <c r="H7" s="53"/>
      <c r="I7" s="42"/>
    </row>
    <row r="8" spans="1:9" ht="35.450000000000003" customHeight="1" x14ac:dyDescent="0.35">
      <c r="A8" s="27" t="s">
        <v>10</v>
      </c>
      <c r="B8" s="28">
        <v>4</v>
      </c>
      <c r="C8" s="25">
        <v>50000</v>
      </c>
      <c r="D8" s="26" t="e" cm="1">
        <f t="array" ref="D8">C8/#REF!</f>
        <v>#REF!</v>
      </c>
      <c r="E8" s="31" cm="1">
        <f t="array" ref="E8">SUM(C5:C8)</f>
        <v>200000</v>
      </c>
      <c r="F8" s="71"/>
      <c r="G8" s="60"/>
      <c r="H8" s="53"/>
      <c r="I8" s="42"/>
    </row>
    <row r="9" spans="1:9" ht="35.450000000000003" customHeight="1" x14ac:dyDescent="0.35">
      <c r="A9" s="30" t="s">
        <v>4</v>
      </c>
      <c r="B9" s="28">
        <v>5</v>
      </c>
      <c r="C9" s="25">
        <v>45000</v>
      </c>
      <c r="D9" s="32" t="e" cm="1">
        <f t="array" ref="D9">C9/#REF!</f>
        <v>#REF!</v>
      </c>
      <c r="E9" s="31"/>
      <c r="F9" s="71"/>
      <c r="G9" s="60"/>
      <c r="H9" s="53"/>
      <c r="I9" s="42"/>
    </row>
    <row r="10" spans="1:9" ht="35.450000000000003" customHeight="1" x14ac:dyDescent="0.35">
      <c r="A10" s="30" t="s">
        <v>5</v>
      </c>
      <c r="B10" s="28">
        <v>6</v>
      </c>
      <c r="C10" s="25">
        <v>30000</v>
      </c>
      <c r="D10" s="32" t="e" cm="1">
        <f t="array" ref="D10">C10/#REF!</f>
        <v>#REF!</v>
      </c>
      <c r="E10" s="31"/>
      <c r="F10" s="71"/>
      <c r="G10" s="60"/>
      <c r="H10" s="53"/>
      <c r="I10" s="42"/>
    </row>
    <row r="11" spans="1:9" ht="35.450000000000003" customHeight="1" x14ac:dyDescent="0.35">
      <c r="A11" s="30" t="s">
        <v>6</v>
      </c>
      <c r="B11" s="28">
        <v>7</v>
      </c>
      <c r="C11" s="25">
        <v>35000</v>
      </c>
      <c r="D11" s="32" t="e" cm="1">
        <f t="array" ref="D11">C11/#REF!</f>
        <v>#REF!</v>
      </c>
      <c r="E11" s="33"/>
      <c r="F11" s="71"/>
      <c r="G11" s="60"/>
      <c r="H11" s="53"/>
      <c r="I11" s="42"/>
    </row>
    <row r="12" spans="1:9" ht="35.450000000000003" customHeight="1" x14ac:dyDescent="0.35">
      <c r="A12" s="30" t="s">
        <v>7</v>
      </c>
      <c r="B12" s="28">
        <v>8</v>
      </c>
      <c r="C12" s="25">
        <v>45000</v>
      </c>
      <c r="D12" s="26" t="e" cm="1">
        <f t="array" ref="D12">C12/#REF!</f>
        <v>#REF!</v>
      </c>
      <c r="E12" s="29"/>
      <c r="F12" s="71"/>
      <c r="G12" s="60"/>
      <c r="H12" s="53"/>
      <c r="I12" s="42"/>
    </row>
    <row r="13" spans="1:9" ht="35.450000000000003" customHeight="1" x14ac:dyDescent="0.35">
      <c r="A13" s="30" t="s">
        <v>8</v>
      </c>
      <c r="B13" s="28">
        <v>9</v>
      </c>
      <c r="C13" s="25">
        <v>55000</v>
      </c>
      <c r="D13" s="26" t="e" cm="1">
        <f t="array" ref="D13">C13/#REF!</f>
        <v>#REF!</v>
      </c>
      <c r="E13" s="34"/>
      <c r="F13" s="71"/>
      <c r="G13" s="60"/>
      <c r="H13" s="53"/>
      <c r="I13" s="42"/>
    </row>
    <row r="14" spans="1:9" ht="35.450000000000003" customHeight="1" x14ac:dyDescent="0.35">
      <c r="A14" s="23" t="s">
        <v>9</v>
      </c>
      <c r="B14" s="28">
        <v>10</v>
      </c>
      <c r="C14" s="25">
        <v>70000</v>
      </c>
      <c r="D14" s="26" t="e" cm="1">
        <f t="array" ref="D14">C14/#REF!</f>
        <v>#REF!</v>
      </c>
      <c r="E14" s="31"/>
      <c r="F14" s="71"/>
      <c r="G14" s="60"/>
      <c r="H14" s="53"/>
      <c r="I14" s="42"/>
    </row>
    <row r="15" spans="1:9" ht="35.450000000000003" customHeight="1" x14ac:dyDescent="0.35">
      <c r="A15" s="27" t="s">
        <v>10</v>
      </c>
      <c r="B15" s="28">
        <v>11</v>
      </c>
      <c r="C15" s="25">
        <v>65000</v>
      </c>
      <c r="D15" s="26" t="e" cm="1">
        <f t="array" ref="D15">C15/#REF!</f>
        <v>#REF!</v>
      </c>
      <c r="E15" s="31" cm="1">
        <f t="array" ref="E15">SUM(C9:C15)</f>
        <v>345000</v>
      </c>
      <c r="F15" s="71"/>
      <c r="G15" s="60"/>
      <c r="H15" s="53"/>
      <c r="I15" s="42"/>
    </row>
    <row r="16" spans="1:9" ht="35.450000000000003" customHeight="1" x14ac:dyDescent="0.35">
      <c r="A16" s="30" t="s">
        <v>4</v>
      </c>
      <c r="B16" s="28">
        <v>12</v>
      </c>
      <c r="C16" s="25">
        <v>40000</v>
      </c>
      <c r="D16" s="32" t="e" cm="1">
        <f t="array" ref="D16">C16/#REF!</f>
        <v>#REF!</v>
      </c>
      <c r="E16" s="31"/>
      <c r="F16" s="71"/>
      <c r="G16" s="60"/>
      <c r="H16" s="53"/>
      <c r="I16" s="42"/>
    </row>
    <row r="17" spans="1:9" ht="35.450000000000003" customHeight="1" x14ac:dyDescent="0.35">
      <c r="A17" s="30" t="s">
        <v>5</v>
      </c>
      <c r="B17" s="28">
        <v>13</v>
      </c>
      <c r="C17" s="25">
        <v>35000</v>
      </c>
      <c r="D17" s="32" t="e" cm="1">
        <f t="array" ref="D17">C17/#REF!</f>
        <v>#REF!</v>
      </c>
      <c r="E17" s="31"/>
      <c r="F17" s="71"/>
      <c r="G17" s="60"/>
      <c r="H17" s="53"/>
      <c r="I17" s="42"/>
    </row>
    <row r="18" spans="1:9" ht="35.450000000000003" customHeight="1" x14ac:dyDescent="0.35">
      <c r="A18" s="30" t="s">
        <v>6</v>
      </c>
      <c r="B18" s="28">
        <v>14</v>
      </c>
      <c r="C18" s="25">
        <v>30000</v>
      </c>
      <c r="D18" s="32" t="e" cm="1">
        <f t="array" ref="D18">C18/#REF!</f>
        <v>#REF!</v>
      </c>
      <c r="E18" s="54"/>
      <c r="F18" s="71"/>
      <c r="G18" s="60"/>
      <c r="H18" s="53"/>
      <c r="I18" s="42"/>
    </row>
    <row r="19" spans="1:9" ht="35.450000000000003" customHeight="1" x14ac:dyDescent="0.35">
      <c r="A19" s="30" t="s">
        <v>7</v>
      </c>
      <c r="B19" s="28">
        <v>15</v>
      </c>
      <c r="C19" s="25">
        <v>35000</v>
      </c>
      <c r="D19" s="26" t="e" cm="1">
        <f t="array" ref="D19">C19/#REF!</f>
        <v>#REF!</v>
      </c>
      <c r="E19" s="34"/>
      <c r="F19" s="71"/>
      <c r="G19" s="60"/>
      <c r="H19" s="53"/>
      <c r="I19" s="42"/>
    </row>
    <row r="20" spans="1:9" ht="35.450000000000003" customHeight="1" x14ac:dyDescent="0.35">
      <c r="A20" s="30" t="s">
        <v>8</v>
      </c>
      <c r="B20" s="28">
        <v>16</v>
      </c>
      <c r="C20" s="25">
        <v>55000</v>
      </c>
      <c r="D20" s="26" t="e" cm="1">
        <f t="array" ref="D20">C20/#REF!</f>
        <v>#REF!</v>
      </c>
      <c r="E20" s="34"/>
      <c r="F20" s="71"/>
      <c r="G20" s="60"/>
      <c r="H20" s="53"/>
      <c r="I20" s="42"/>
    </row>
    <row r="21" spans="1:9" ht="35.450000000000003" customHeight="1" x14ac:dyDescent="0.35">
      <c r="A21" s="23" t="s">
        <v>9</v>
      </c>
      <c r="B21" s="28">
        <v>17</v>
      </c>
      <c r="C21" s="25">
        <v>70000</v>
      </c>
      <c r="D21" s="26" t="e" cm="1">
        <f t="array" ref="D21">C21/#REF!</f>
        <v>#REF!</v>
      </c>
      <c r="E21" s="31"/>
      <c r="F21" s="71"/>
      <c r="G21" s="60"/>
      <c r="H21" s="53"/>
      <c r="I21" s="42"/>
    </row>
    <row r="22" spans="1:9" ht="35.450000000000003" customHeight="1" x14ac:dyDescent="0.35">
      <c r="A22" s="27" t="s">
        <v>10</v>
      </c>
      <c r="B22" s="28">
        <v>18</v>
      </c>
      <c r="C22" s="25">
        <v>65000</v>
      </c>
      <c r="D22" s="26" t="e" cm="1">
        <f t="array" ref="D22">C22/#REF!</f>
        <v>#REF!</v>
      </c>
      <c r="E22" s="31" cm="1">
        <f t="array" ref="E22">SUM(C16:C22)</f>
        <v>330000</v>
      </c>
      <c r="F22" s="71"/>
      <c r="G22" s="60"/>
      <c r="H22" s="53"/>
      <c r="I22" s="42"/>
    </row>
    <row r="23" spans="1:9" ht="35.450000000000003" customHeight="1" x14ac:dyDescent="0.35">
      <c r="A23" s="30" t="s">
        <v>4</v>
      </c>
      <c r="B23" s="28">
        <v>19</v>
      </c>
      <c r="C23" s="25">
        <v>45000</v>
      </c>
      <c r="D23" s="32" t="e" cm="1">
        <f t="array" ref="D23">C23/#REF!</f>
        <v>#REF!</v>
      </c>
      <c r="E23" s="31"/>
      <c r="F23" s="71"/>
      <c r="G23" s="60"/>
      <c r="H23" s="53"/>
      <c r="I23" s="42"/>
    </row>
    <row r="24" spans="1:9" ht="35.450000000000003" customHeight="1" x14ac:dyDescent="0.35">
      <c r="A24" s="30" t="s">
        <v>5</v>
      </c>
      <c r="B24" s="28">
        <v>20</v>
      </c>
      <c r="C24" s="25">
        <v>30000</v>
      </c>
      <c r="D24" s="32" t="e" cm="1">
        <f t="array" ref="D24">C24/#REF!</f>
        <v>#REF!</v>
      </c>
      <c r="E24" s="31"/>
      <c r="F24" s="71"/>
      <c r="G24" s="60"/>
      <c r="H24" s="53"/>
      <c r="I24" s="42"/>
    </row>
    <row r="25" spans="1:9" ht="35.450000000000003" customHeight="1" x14ac:dyDescent="0.35">
      <c r="A25" s="30" t="s">
        <v>6</v>
      </c>
      <c r="B25" s="28">
        <v>21</v>
      </c>
      <c r="C25" s="25">
        <v>35000</v>
      </c>
      <c r="D25" s="32" t="e" cm="1">
        <f t="array" ref="D25">C25/#REF!</f>
        <v>#REF!</v>
      </c>
      <c r="E25" s="54"/>
      <c r="F25" s="71"/>
      <c r="G25" s="60"/>
      <c r="H25" s="53"/>
      <c r="I25" s="42"/>
    </row>
    <row r="26" spans="1:9" ht="35.450000000000003" customHeight="1" x14ac:dyDescent="0.35">
      <c r="A26" s="30" t="s">
        <v>7</v>
      </c>
      <c r="B26" s="28">
        <v>22</v>
      </c>
      <c r="C26" s="25">
        <v>45000</v>
      </c>
      <c r="D26" s="26" t="e" cm="1">
        <f t="array" ref="D26">C26/#REF!</f>
        <v>#REF!</v>
      </c>
      <c r="E26" s="34"/>
      <c r="F26" s="71"/>
      <c r="G26" s="60"/>
      <c r="H26" s="53"/>
      <c r="I26" s="42"/>
    </row>
    <row r="27" spans="1:9" ht="35.450000000000003" customHeight="1" x14ac:dyDescent="0.35">
      <c r="A27" s="30" t="s">
        <v>8</v>
      </c>
      <c r="B27" s="28">
        <v>23</v>
      </c>
      <c r="C27" s="25">
        <v>55000</v>
      </c>
      <c r="D27" s="26" t="e" cm="1">
        <f t="array" ref="D27">C27/#REF!</f>
        <v>#REF!</v>
      </c>
      <c r="E27" s="34"/>
      <c r="F27" s="71"/>
      <c r="G27" s="60"/>
      <c r="H27" s="53"/>
      <c r="I27" s="42"/>
    </row>
    <row r="28" spans="1:9" ht="35.450000000000003" customHeight="1" x14ac:dyDescent="0.35">
      <c r="A28" s="23" t="s">
        <v>9</v>
      </c>
      <c r="B28" s="28">
        <v>24</v>
      </c>
      <c r="C28" s="25">
        <v>75000</v>
      </c>
      <c r="D28" s="26" t="e" cm="1">
        <f t="array" ref="D28">C28/#REF!</f>
        <v>#REF!</v>
      </c>
      <c r="E28" s="31"/>
      <c r="F28" s="71"/>
      <c r="G28" s="60"/>
      <c r="H28" s="53"/>
      <c r="I28" s="42"/>
    </row>
    <row r="29" spans="1:9" ht="35.450000000000003" customHeight="1" x14ac:dyDescent="0.35">
      <c r="A29" s="27" t="s">
        <v>10</v>
      </c>
      <c r="B29" s="28">
        <v>25</v>
      </c>
      <c r="C29" s="25">
        <v>70000</v>
      </c>
      <c r="D29" s="26" t="e" cm="1">
        <f t="array" ref="D29">C29/#REF!</f>
        <v>#REF!</v>
      </c>
      <c r="E29" s="31" cm="1">
        <f t="array" ref="E29">SUM(C23:C29)</f>
        <v>355000</v>
      </c>
      <c r="F29" s="71"/>
      <c r="G29" s="60"/>
      <c r="H29" s="53"/>
      <c r="I29" s="42"/>
    </row>
    <row r="30" spans="1:9" ht="35.450000000000003" customHeight="1" x14ac:dyDescent="0.35">
      <c r="A30" s="30" t="s">
        <v>4</v>
      </c>
      <c r="B30" s="28">
        <v>26</v>
      </c>
      <c r="C30" s="25">
        <v>45000</v>
      </c>
      <c r="D30" s="32" t="e" cm="1">
        <f t="array" ref="D30">C30/#REF!</f>
        <v>#REF!</v>
      </c>
      <c r="E30" s="31"/>
      <c r="F30" s="71"/>
      <c r="G30" s="60"/>
      <c r="H30" s="53"/>
      <c r="I30" s="42"/>
    </row>
    <row r="31" spans="1:9" ht="35.450000000000003" customHeight="1" x14ac:dyDescent="0.35">
      <c r="A31" s="30" t="s">
        <v>5</v>
      </c>
      <c r="B31" s="28">
        <v>27</v>
      </c>
      <c r="C31" s="25">
        <v>35000</v>
      </c>
      <c r="D31" s="32" t="e" cm="1">
        <f t="array" ref="D31">C31/#REF!</f>
        <v>#REF!</v>
      </c>
      <c r="E31" s="31"/>
      <c r="F31" s="71"/>
      <c r="G31" s="60"/>
      <c r="H31" s="53"/>
      <c r="I31" s="42"/>
    </row>
    <row r="32" spans="1:9" ht="35.450000000000003" customHeight="1" x14ac:dyDescent="0.35">
      <c r="A32" s="30" t="s">
        <v>6</v>
      </c>
      <c r="B32" s="28">
        <v>28</v>
      </c>
      <c r="C32" s="25">
        <v>40000</v>
      </c>
      <c r="D32" s="32" t="e" cm="1">
        <f t="array" ref="D32">C32/#REF!</f>
        <v>#REF!</v>
      </c>
      <c r="E32" s="54"/>
      <c r="F32" s="71"/>
      <c r="G32" s="60"/>
      <c r="H32" s="53"/>
      <c r="I32" s="42"/>
    </row>
    <row r="33" spans="1:9" ht="35.450000000000003" customHeight="1" x14ac:dyDescent="0.35">
      <c r="A33" s="30" t="s">
        <v>7</v>
      </c>
      <c r="B33" s="28">
        <v>29</v>
      </c>
      <c r="C33" s="25">
        <v>50000</v>
      </c>
      <c r="D33" s="26" t="e" cm="1">
        <f t="array" ref="D33">C33/#REF!</f>
        <v>#REF!</v>
      </c>
      <c r="E33" s="34"/>
      <c r="F33" s="71"/>
      <c r="G33" s="60"/>
      <c r="H33" s="53"/>
      <c r="I33" s="42"/>
    </row>
    <row r="34" spans="1:9" ht="35.450000000000003" customHeight="1" x14ac:dyDescent="0.35">
      <c r="A34" s="30" t="s">
        <v>8</v>
      </c>
      <c r="B34" s="28">
        <v>30</v>
      </c>
      <c r="C34" s="25">
        <v>65000</v>
      </c>
      <c r="D34" s="26" t="e" cm="1">
        <f t="array" ref="D34">C34/#REF!</f>
        <v>#REF!</v>
      </c>
      <c r="E34" s="34"/>
      <c r="F34" s="71"/>
      <c r="G34" s="60"/>
      <c r="H34" s="53"/>
      <c r="I34" s="42"/>
    </row>
    <row r="35" spans="1:9" ht="35.450000000000003" customHeight="1" x14ac:dyDescent="0.35">
      <c r="A35" s="30" t="s">
        <v>9</v>
      </c>
      <c r="B35" s="35">
        <v>31</v>
      </c>
      <c r="C35" s="25">
        <v>70000</v>
      </c>
      <c r="D35" s="36">
        <v>23333</v>
      </c>
      <c r="E35" s="37" cm="1">
        <f t="array" ref="E35">SUM(C30:C35)</f>
        <v>305000</v>
      </c>
      <c r="F35" s="70"/>
      <c r="G35" s="61"/>
      <c r="H35" s="55"/>
      <c r="I35" s="56"/>
    </row>
    <row r="36" spans="1:9" ht="35.450000000000003" customHeight="1" x14ac:dyDescent="0.35">
      <c r="A36" s="43"/>
      <c r="B36" s="4"/>
      <c r="C36" s="2"/>
      <c r="D36" s="38"/>
      <c r="E36" s="39"/>
      <c r="F36" s="65"/>
      <c r="G36" s="66"/>
      <c r="H36" s="57"/>
      <c r="I36" s="19"/>
    </row>
    <row r="37" spans="1:9" ht="35.450000000000003" customHeight="1" x14ac:dyDescent="0.35">
      <c r="A37" s="45" t="s">
        <v>11</v>
      </c>
      <c r="B37" s="5"/>
      <c r="C37" s="40" cm="1">
        <f t="array" ref="C37">SUM(C5:C35)</f>
        <v>1535000</v>
      </c>
      <c r="D37" s="41"/>
      <c r="E37" s="44" cm="1">
        <f t="array" ref="E37">SUM(E33+E26+E19+E12+E5)</f>
        <v>0</v>
      </c>
      <c r="F37" s="6"/>
      <c r="G37" s="58"/>
      <c r="H37" s="58"/>
      <c r="I37" s="7"/>
    </row>
    <row r="38" spans="1:9" ht="35.450000000000003" customHeight="1" x14ac:dyDescent="0.3">
      <c r="A38" s="20" t="s">
        <v>12</v>
      </c>
      <c r="B38" s="5"/>
      <c r="C38" s="21"/>
      <c r="D38" s="5"/>
      <c r="E38" s="5"/>
      <c r="F38" s="6"/>
      <c r="G38" s="58"/>
      <c r="H38" s="58"/>
      <c r="I38" s="7"/>
    </row>
    <row r="39" spans="1:9" ht="35.450000000000003" customHeight="1" x14ac:dyDescent="0.3">
      <c r="A39" s="20" t="s">
        <v>13</v>
      </c>
      <c r="B39" s="5"/>
      <c r="C39" s="8" cm="1">
        <f t="array" ref="C39">C37-E37</f>
        <v>1535000</v>
      </c>
      <c r="D39" s="5"/>
      <c r="E39" s="5"/>
      <c r="F39" s="6"/>
      <c r="G39" s="58"/>
      <c r="H39" s="58"/>
      <c r="I39" s="7"/>
    </row>
    <row r="40" spans="1:9" ht="35.450000000000003" customHeight="1" x14ac:dyDescent="0.3">
      <c r="A40" s="20" t="s">
        <v>14</v>
      </c>
      <c r="B40" s="5"/>
      <c r="C40" s="9" cm="1">
        <f t="array" ref="C40">E37/C37</f>
        <v>0</v>
      </c>
      <c r="D40" s="5"/>
      <c r="E40" s="5"/>
      <c r="F40" s="10"/>
      <c r="G40" s="59"/>
      <c r="H40" s="59"/>
      <c r="I40" s="11"/>
    </row>
  </sheetData>
  <mergeCells count="36">
    <mergeCell ref="F4:G4"/>
    <mergeCell ref="B3:G3"/>
    <mergeCell ref="A2:B2"/>
    <mergeCell ref="F16:G16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8:G18"/>
    <mergeCell ref="F19:G19"/>
    <mergeCell ref="F20:G20"/>
    <mergeCell ref="F21:G21"/>
    <mergeCell ref="F22:G22"/>
    <mergeCell ref="A1:I1"/>
    <mergeCell ref="F36:G36"/>
    <mergeCell ref="F35:G35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</mergeCells>
  <pageMargins left="1" right="1" top="1" bottom="1" header="0.25" footer="0.25"/>
  <pageSetup scale="46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Target 25-1-1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2026-10-01T08:24:52Z</dcterms:created>
  <dcterms:modified xsi:type="dcterms:W3CDTF">2026-10-01T08:24:52Z</dcterms:modified>
</cp:coreProperties>
</file>